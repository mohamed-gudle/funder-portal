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Sheet1!$A$1:$V$47</definedName>
  </definedNames>
  <calcPr/>
  <extLst>
    <ext uri="GoogleSheetsCustomDataVersion2">
      <go:sheetsCustomData xmlns:go="http://customooxmlschemas.google.com/" r:id="rId5" roundtripDataChecksum="T4NvIQoEPUhWsLvyCr48MJya/PXjNcU5smgAhgoDRd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======
ID#AAABtWaCDI8
Olivia Robinson    (2025-10-31 11:43:06)
Which one are we proposing targeting?</t>
      </text>
    </comment>
  </commentList>
  <extLst>
    <ext uri="GoogleSheetsCustomDataVersion2">
      <go:sheetsCustomData xmlns:go="http://customooxmlschemas.google.com/" r:id="rId1" roundtripDataSignature="AMtx7miDb/HVX9/jS3VDxpnUj8De84T85g=="/>
    </ext>
  </extLst>
</comments>
</file>

<file path=xl/sharedStrings.xml><?xml version="1.0" encoding="utf-8"?>
<sst xmlns="http://schemas.openxmlformats.org/spreadsheetml/2006/main" count="478" uniqueCount="304">
  <si>
    <t xml:space="preserve">Organisation / Fund
</t>
  </si>
  <si>
    <t>Type of Funding</t>
  </si>
  <si>
    <t>Amount (typical / example)</t>
  </si>
  <si>
    <t>Funding size (USD)</t>
  </si>
  <si>
    <t>Focus &amp; Main Goals</t>
  </si>
  <si>
    <t>Country Focus</t>
  </si>
  <si>
    <t>Date (Deadline)</t>
  </si>
  <si>
    <t xml:space="preserve">Level of Urgency </t>
  </si>
  <si>
    <t>AFCEN sector (Energy)</t>
  </si>
  <si>
    <t>AFCEN sector (Critical minerals)</t>
  </si>
  <si>
    <t>AFCEN sector (Agriculture)</t>
  </si>
  <si>
    <t>AFCEN sector (digital platform)</t>
  </si>
  <si>
    <t>AFCEN sector (clean cooking)</t>
  </si>
  <si>
    <t>AFCEN sector (PPF)</t>
  </si>
  <si>
    <t xml:space="preserve">General / Multi-sectoral </t>
  </si>
  <si>
    <t>Prioritisation (TBD)</t>
  </si>
  <si>
    <t>Comments</t>
  </si>
  <si>
    <t>Next steps</t>
  </si>
  <si>
    <t xml:space="preserve">To Apply For (Yes/ No/ Maybe) </t>
  </si>
  <si>
    <t>AFCEN relationship holder</t>
  </si>
  <si>
    <t>Initial conversation had with the funder</t>
  </si>
  <si>
    <t xml:space="preserve">Application submitted </t>
  </si>
  <si>
    <t>Global Innovation Lab for Climate Finance (Climate Finance Lab)</t>
  </si>
  <si>
    <t>Competitive “Call for Ideas” / early-stage climate finance instruments</t>
  </si>
  <si>
    <t>Up to USD 150,000–250,000 conditional grant + in-kind support</t>
  </si>
  <si>
    <t>&lt;250k</t>
  </si>
  <si>
    <t>Identify, design and launch innovative finance vehicles for climate mitigation/resilience; mobilise private investment; focus on emerging markets and scalable solutions.</t>
  </si>
  <si>
    <t>Africa (Mitigation &amp; sustainable agriculture), also other regions but Africa eligible</t>
  </si>
  <si>
    <t>Immediate (9 November)</t>
  </si>
  <si>
    <t>Yes</t>
  </si>
  <si>
    <t>High</t>
  </si>
  <si>
    <t>- Focus on the PPF - to develop new finance vehicles; 
- Ideal for AfCEN’s tokenization &amp; investment matchmaking innovations.</t>
  </si>
  <si>
    <t>- Final edits with OR and VE
to submit by Friday 7/11</t>
  </si>
  <si>
    <t>Climate &amp; Clean Air Coalition (CCAC)</t>
  </si>
  <si>
    <t>Challenge programme grants</t>
  </si>
  <si>
    <t>Up to USD 2M</t>
  </si>
  <si>
    <t>250-500k</t>
  </si>
  <si>
    <t>Accelerate eCooking in Africa to reduce emissions and support women’s empowerment.</t>
  </si>
  <si>
    <t>Africa (ODA-eligible)</t>
  </si>
  <si>
    <t>Immediate (12 December)</t>
  </si>
  <si>
    <t>Yes (with General)</t>
  </si>
  <si>
    <t>- Fit for cross-sector clean cooking/agri resilience (e.g., eCooking pilots reducing SLCPs, aligning with Tanzania strategy/jobs); 
- 50% Africa focus.</t>
  </si>
  <si>
    <t>- Draft 2-4 page EOI (SLCP plan, co-benefits); 
- Secure ODA-country partner letter. 
- Submit via ccacoalition.org.</t>
  </si>
  <si>
    <t xml:space="preserve">Pending </t>
  </si>
  <si>
    <t>Worthington Companies Foundation – West Africa Clean Cooking Fund</t>
  </si>
  <si>
    <t>Regional grant fund</t>
  </si>
  <si>
    <t>Total fund USD 1M (multi-project)</t>
  </si>
  <si>
    <t>Promote clean cooking via LPG adoption; infrastructure, supply, training.</t>
  </si>
  <si>
    <t>West Africa (Benin, Ghana, Nigeria, etc.)</t>
  </si>
  <si>
    <t>Q4 2025 (31 December)</t>
  </si>
  <si>
    <t>$1M fund for community solutions; fits AfCEN’s West Africa expansion &amp; grassroots orchestration.</t>
  </si>
  <si>
    <r>
      <rPr>
        <rFont val="Georgia"/>
        <color theme="1"/>
        <sz val="10.0"/>
      </rPr>
      <t xml:space="preserve">- Confirmed that funding is available for Serra Leone among 13 other WA countries
- Prep 3-5 page proposal (objectives, budget &lt;$250k, Sierra Leone site maps/photos); 
- Need to gather 2-3 refs (e.g., Ministry of Energy MoU, local NGO letter)  
- Submit via </t>
    </r>
    <r>
      <rPr>
        <rFont val="Georgia"/>
        <color rgb="FF1155CC"/>
        <sz val="10.0"/>
        <u/>
      </rPr>
      <t>fundsforngos.org</t>
    </r>
    <r>
      <rPr>
        <rFont val="Georgia"/>
        <color theme="1"/>
        <sz val="10.0"/>
      </rPr>
      <t xml:space="preserve"> - target Freetown pilot tying to national unit for scale-up.</t>
    </r>
  </si>
  <si>
    <t>Clean Cooking Alliance (CCA)</t>
  </si>
  <si>
    <t>Grants / Technical Assistance / Challenge Funds</t>
  </si>
  <si>
    <t>Typically USD 50k – 1M</t>
  </si>
  <si>
    <t>Wide ranging</t>
  </si>
  <si>
    <t>Support clean cooking innovation, market strengthening, inclusive supply chains, and climate-health co-benefits. Includes TA partners, research collaborations, and implementation projects.</t>
  </si>
  <si>
    <t>Africa (multiple countries — Uganda, Tanzania, Ghana, Kenya, etc.)</t>
  </si>
  <si>
    <t>Several open calls — 
TA Partner (Uganda/Tanzania) closes 21 Oct 2025; 
UNICEF Clean Cooking Challenge closes 30 Nov 2025; 
Others 31 Dec 2025</t>
  </si>
  <si>
    <t>Immediate (30 Nov; 31 Dec 2025)</t>
  </si>
  <si>
    <t>Medium</t>
  </si>
  <si>
    <t xml:space="preserve">Market-building, guarantees, &amp; investment vehicles for LPG/e-cooking; enables AfCEN’s Tanzania-scale strategy. </t>
  </si>
  <si>
    <t>Horizon Europe – “GenAI for Africa” Call</t>
  </si>
  <si>
    <t>R&amp;I grant (Horizon Europe)</t>
  </si>
  <si>
    <t>~€3-5M per project</t>
  </si>
  <si>
    <t>5m+</t>
  </si>
  <si>
    <t>Generative AI solutions addressing local African challenges (AI/data platform focus). https://digital-strategy.ec.europa.eu/en/policies/genai4eu</t>
  </si>
  <si>
    <t>Africa / EU partners</t>
  </si>
  <si>
    <t>Deadline passed</t>
  </si>
  <si>
    <t>€5M for AI tools solving African energy/agri/minerals challenges; directly powers AfCEN’s digital platform &amp; AI-driven project prioritization.</t>
  </si>
  <si>
    <t>IKI Small Grants (International Climate Initiative, Germany)</t>
  </si>
  <si>
    <t>Small to medium grants</t>
  </si>
  <si>
    <t>€60,000–€200,000</t>
  </si>
  <si>
    <t>Climate change mitigation/adaptation, biodiversity conservation, carbon sinks; strengthens local NGOs and community initiatives.</t>
  </si>
  <si>
    <t>ODA-eligible countries (many in Africa)</t>
  </si>
  <si>
    <t xml:space="preserve">Open </t>
  </si>
  <si>
    <t>Low</t>
  </si>
  <si>
    <t>Focus on energy + critical - for climate innovation; catalytic for AfCEN’s early-stage project prioritization.</t>
  </si>
  <si>
    <t xml:space="preserve">Maybe </t>
  </si>
  <si>
    <t>EU–AU LEAP-SE (Horizon Europe)</t>
  </si>
  <si>
    <t>Research &amp; innovation grants</t>
  </si>
  <si>
    <t>€500k–5M+ per consortium</t>
  </si>
  <si>
    <t>Sustainable energy research: renewable systems, grids, clean cooking, hydrogen, data platforms.</t>
  </si>
  <si>
    <t>Africa–EU consortia</t>
  </si>
  <si>
    <t>USTDA – Sub-Saharan Africa Energy and Critical Minerals Program</t>
  </si>
  <si>
    <t>Technical assistance / feasibility grants</t>
  </si>
  <si>
    <t>Varies (usually USD 200k – 1M)</t>
  </si>
  <si>
    <t>Provide TA and feasibility funding for energy infrastructure and critical minerals projects (EV value chain, battery materials, etc.).</t>
  </si>
  <si>
    <t>Sub-Saharan Africa countries</t>
  </si>
  <si>
    <t>Open/ Rolling (September 19, 2025)</t>
  </si>
  <si>
    <t>Yes (with Energy)</t>
  </si>
  <si>
    <t>Direct technical assistance &amp; grants for critical minerals project prep (supply chains, infrastructure); aligns with AfCEN’s graphite &amp; lithium-ion value chain work in East Africa.</t>
  </si>
  <si>
    <t>Adaptation Fund</t>
  </si>
  <si>
    <t>Project grants / accredited entity access</t>
  </si>
  <si>
    <t>Varies – typically USD 1–10M per project</t>
  </si>
  <si>
    <t>Supports concrete adaptation projects that enhance resilience of vulnerable communities to climate change; implements national adaptation priorities.</t>
  </si>
  <si>
    <t>Developing countries (Africa heavily represented)</t>
  </si>
  <si>
    <t>- Open / Rolling – through national implementing entities (NIEs) and via accredited entities like AfDB/UNDP; 
- 9-12 month review—initiate Nov 2025 for Q3 2026</t>
  </si>
  <si>
    <t>Open/Rolling</t>
  </si>
  <si>
    <t xml:space="preserve">Yes (with Ag) </t>
  </si>
  <si>
    <t>Yes (with energy)</t>
  </si>
  <si>
    <t>- Focus on Energy + Ag - for resilience; 
- Backs AfCEN’s smallholder &amp; clean energy adaptation strategies.</t>
  </si>
  <si>
    <t>- Prep 5-10 page concept (vulnerability assessment, outcomes) potentially for AfDB submission 
- Focus on SSA agri/energy risks</t>
  </si>
  <si>
    <t>Energy4Impact (Mercy Corps)</t>
  </si>
  <si>
    <t>Business support / grants</t>
  </si>
  <si>
    <t>USD 100k–multi-million</t>
  </si>
  <si>
    <t>Clean energy innovations, productive use of energy for livelihoods.</t>
  </si>
  <si>
    <t>Africa-wide</t>
  </si>
  <si>
    <t>Open / rolling competitions</t>
  </si>
  <si>
    <t>yes</t>
  </si>
  <si>
    <t>EEP Africa – 2025 Call for Proposals (Nordic Development Fund)</t>
  </si>
  <si>
    <t>Early-stage innovation grants</t>
  </si>
  <si>
    <t>EUR 200k – 1M</t>
  </si>
  <si>
    <t>&lt;1m</t>
  </si>
  <si>
    <t>Financing for early-stage clean energy solutions, new technologies, and business models improving energy access and livelihoods.</t>
  </si>
  <si>
    <t>Eastern &amp; Southern Africa (Botswana, Kenya, Malawi, Mozambique, Rwanda, Uganda, Zambia, etc.)</t>
  </si>
  <si>
    <t>Open 2025 Call — deadline to be confirmed (Q4 2025).</t>
  </si>
  <si>
    <t>Bill &amp; Melinda Gates Foundation</t>
  </si>
  <si>
    <t>Strategic / programme grants</t>
  </si>
  <si>
    <t>Health, development, climate-smart innovation (energy–health intersections).</t>
  </si>
  <si>
    <t>Africa &amp; global</t>
  </si>
  <si>
    <t>- Open/Rolling
- 3-6 month process—submit LOI by Nov 2025 for Q2 2026)</t>
  </si>
  <si>
    <t>- Focus on either Ag/ Ag with Energy - Multi-year, large-scale grants for climate-resilient smallholder systems; 
- Supports AfCEN’s sustainable agriculture income &amp; job creation goals.
- Low-prep entry; urgent for invitation pathways.</t>
  </si>
  <si>
    <t>- Draft 3-5 page LOI (innovation, SSA metrics) via gatesfoundation.org or AGRA contacts
- Helpful to emphasize AI/data tools;</t>
  </si>
  <si>
    <t>IKEA Foundation</t>
  </si>
  <si>
    <t>Philanthropic grants</t>
  </si>
  <si>
    <t>Multi-million</t>
  </si>
  <si>
    <t>Climate &amp; livelihoods, renewable energy, clean cooking.</t>
  </si>
  <si>
    <t>Africa, Asia</t>
  </si>
  <si>
    <t>Yes (with Energy/Ag)</t>
  </si>
  <si>
    <t>Focus on either Ag or Energy - grants for clean energy access &amp; livelihoods; aligns with AfCEN’s clean cooking &amp; smallholder resilience work.</t>
  </si>
  <si>
    <t>Novastar Ventures</t>
  </si>
  <si>
    <t>Venture capital / equity</t>
  </si>
  <si>
    <t>USD 250k–5M</t>
  </si>
  <si>
    <t>1-5m</t>
  </si>
  <si>
    <t>Commercially scalable ventures — off-grid energy, ag-tech, mobility, climate.</t>
  </si>
  <si>
    <t>East &amp; West Africa</t>
  </si>
  <si>
    <t>Rolling (investment-based)</t>
  </si>
  <si>
    <t>Yes (Ag/health/education)</t>
  </si>
  <si>
    <t>Mulago Foundation</t>
  </si>
  <si>
    <t>Unrestricted / core support grants</t>
  </si>
  <si>
    <t>Not public; portfolio grants typically USD 100k–1M</t>
  </si>
  <si>
    <t>High-impact scalable solutions to poverty; measurable outcomes; clean energy and health-related interventions funded historically (e.g., clean cooking, off-grid).  CORE</t>
  </si>
  <si>
    <t>Global (includes African orgs)</t>
  </si>
  <si>
    <t>Rolling / by invitation</t>
  </si>
  <si>
    <t>ClimateWorks Foundation</t>
  </si>
  <si>
    <t>Programmatic grants / re-granting to partners</t>
  </si>
  <si>
    <t>Typically USD 100k–2M (depends on program)</t>
  </si>
  <si>
    <t>Catalyzes global and regional climate philanthropy; funds initiatives in clean energy transitions, transport decarbonization, sustainable cooling, data transparency, and African regional networks (e.g., ClimateWorks Africa programme).</t>
  </si>
  <si>
    <t>Global with active Africa partnerships (South Africa, Kenya, Nigeria, pan-Africa)</t>
  </si>
  <si>
    <t>Rolling / invitation or partnership-based</t>
  </si>
  <si>
    <t>Focus on PPF + Critical minerals - for locally-led adaptation; funds AfCEN’s resilience-focused project prep in minerals &amp; energy.</t>
  </si>
  <si>
    <t>DOEN Foundation (Stichting DOEN)</t>
  </si>
  <si>
    <t>Early-stage catalytic grants</t>
  </si>
  <si>
    <t>€50k–500k typical</t>
  </si>
  <si>
    <t>Regenerative economy, sustainable energy, circular systems, inclusive society; early, risk-tolerant. CORE</t>
  </si>
  <si>
    <t>Global (active in Africa)</t>
  </si>
  <si>
    <t>Rolling / programme-specific</t>
  </si>
  <si>
    <t>- Focus on either Ag or Energy 
- Ideal rolling fit for regenerative energy/agri orchestration (e.g., circular pilots in East Africa, up to 1/3 budget); 
- Risk-tolerant for AfCEN's early innovation. Perfect for immediate onboarding without deadline pressure.</t>
  </si>
  <si>
    <t>- Submit 3-5 page SMART proposal (sustainability focus, budget) via doen.nl 
- Note that there's a preference for NL/EU facing projects
- Highlight AI tools for circular economy; 
expect €200k for scaling.</t>
  </si>
  <si>
    <t>LGT Venture Philanthropy (LGT VP)</t>
  </si>
  <si>
    <t>Flexible, catalytic grants / equity</t>
  </si>
  <si>
    <t>USD 100k–2M typical</t>
  </si>
  <si>
    <t>500-1m</t>
  </si>
  <si>
    <t>Scalable social enterprises in education, environment, health; supports Africa energy access ventures.</t>
  </si>
  <si>
    <t>Sub-Saharan Africa, India</t>
  </si>
  <si>
    <t>- Focus on Energy
- Strong rolling match for energy enterprise scaling/core capacity (SSA health/env focus, e.g., access ventures); supports AfCEN's long-term resilience/jobs. Invitation-based but low-barrier entry.</t>
  </si>
  <si>
    <t xml:space="preserve">- File 2-3 page inquiry (impact metrics, SSA tie) via lgtvp.com (2 weeks). 
- Pitch multi-year partnership; 
</t>
  </si>
  <si>
    <t>Rockefeller Foundation</t>
  </si>
  <si>
    <t>Programme grants</t>
  </si>
  <si>
    <t>USD 250k–multi-million</t>
  </si>
  <si>
    <t>Climate resilience, just energy transitions, regional convening.</t>
  </si>
  <si>
    <t>Global / Africa</t>
  </si>
  <si>
    <t>Focus on Energy - Climate &amp; equity focus; supports AfCEN’s transmission corridors (e.g., Zizabona) and productive use energy models.</t>
  </si>
  <si>
    <t>World Bank / Mission 300 for Electrification</t>
  </si>
  <si>
    <t>MDB investment / concessional financing</t>
  </si>
  <si>
    <t>Multi-billion portfolio</t>
  </si>
  <si>
    <t>Energy infrastructure, off-grid electrification, clean cooking integration.</t>
  </si>
  <si>
    <t>Africa</t>
  </si>
  <si>
    <t>Rolling project approvals</t>
  </si>
  <si>
    <t>$30-40B global electrification push; AfCEN can orchestrate SSA pipelines, align transmission &amp; productive use</t>
  </si>
  <si>
    <t>Green Climate Fund (GCF)</t>
  </si>
  <si>
    <t>Climate finance (grants / concessional loans)</t>
  </si>
  <si>
    <t>USD 10M–100M typical</t>
  </si>
  <si>
    <t>Low-carbon, resilient infrastructure — including clean energy.</t>
  </si>
  <si>
    <t>Developing countries (Africa eligible)</t>
  </si>
  <si>
    <t>Rolling via accredited entities</t>
  </si>
  <si>
    <t>Energy + PPF - significant funding for for paradigm-shifting climate projects; AfCEN can structure SSA energy &amp; PPF pipelines via accredited entities.</t>
  </si>
  <si>
    <t>AfDB / Alliance for Green Infrastructure in Africa (AGIA – Project Development Fund)</t>
  </si>
  <si>
    <t>Project development / concessional finance</t>
  </si>
  <si>
    <t>Typically USD 1 – 5 M per project (Dev Fund Stage)</t>
  </si>
  <si>
    <t>Support development and preparation of bankable green infrastructure projects — energy, transport, water, ICT, climate resilience.</t>
  </si>
  <si>
    <t>Pan-Africa (AfDB member countries)</t>
  </si>
  <si>
    <t>Active – Accepting project concepts 2025.</t>
  </si>
  <si>
    <t xml:space="preserve">Open/Rolling </t>
  </si>
  <si>
    <t>Blended PPF for green infrastructure; core to AfCEN’s end-to-end preparation facility &amp; bankability pipeline.</t>
  </si>
  <si>
    <t>Modern Cooking Facility for Africa (MCFA)</t>
  </si>
  <si>
    <t>Performance-based finance / catalytic grants</t>
  </si>
  <si>
    <t>Typically USD 500k – 2 M per company</t>
  </si>
  <si>
    <t>Catalytic and results-based financing to scale market-ready clean cooking solutions (stoves, fuels, distribution).</t>
  </si>
  <si>
    <t>Sub-Saharan Africa (DRC, Kenya, Malawi, Mozambique, Tanzania, Zambia, Zimbabwe)</t>
  </si>
  <si>
    <t>EOI window open (rolling through 2025).</t>
  </si>
  <si>
    <t>Peter Cundill Foundation</t>
  </si>
  <si>
    <t>Not disclosed</t>
  </si>
  <si>
    <t>Youth education, well-being, human potential (limited public data).</t>
  </si>
  <si>
    <t>Global</t>
  </si>
  <si>
    <t>Invitation-only</t>
  </si>
  <si>
    <t>Starr Foundation</t>
  </si>
  <si>
    <t>Large philanthropic grants</t>
  </si>
  <si>
    <t>Multi-million portfolio</t>
  </si>
  <si>
    <t>Education, environment, public policy, health, global culture.</t>
  </si>
  <si>
    <t>Gianturco Family Foundation</t>
  </si>
  <si>
    <t>Small community grants</t>
  </si>
  <si>
    <t>USD 5k–25k typical</t>
  </si>
  <si>
    <t>Education, youth, environment, small nonprofits.</t>
  </si>
  <si>
    <t>U.S. (some global)</t>
  </si>
  <si>
    <t>Rolling / invitation</t>
  </si>
  <si>
    <t>Imaginable Futures</t>
  </si>
  <si>
    <t>Philanthropic investment / grants</t>
  </si>
  <si>
    <t>Varies (hundreds K–millions USD)</t>
  </si>
  <si>
    <t>Education equity, locally led learning innovation, systems change (not core energy but AI/data &amp; convening relevant).</t>
  </si>
  <si>
    <t>Kenya, Brazil, U.S.</t>
  </si>
  <si>
    <t>Rolling / by programme</t>
  </si>
  <si>
    <t>Immediate (31 October)</t>
  </si>
  <si>
    <t>Yes (with AI/Digital)</t>
  </si>
  <si>
    <t xml:space="preserve">Low-Medium </t>
  </si>
  <si>
    <t>AI/ Digital education focused</t>
  </si>
  <si>
    <t>Turing Foundation</t>
  </si>
  <si>
    <t>EUR 25k–500k</t>
  </si>
  <si>
    <t>Education, health, environment; supports African NGOs.</t>
  </si>
  <si>
    <t>Africa (multiple countries)</t>
  </si>
  <si>
    <t xml:space="preserve">Yes </t>
  </si>
  <si>
    <t>Limited climate overlap</t>
  </si>
  <si>
    <r>
      <rPr>
        <rFont val="Georgia"/>
        <b/>
        <color theme="1"/>
        <sz val="10.0"/>
      </rPr>
      <t xml:space="preserve">Initiative for Climate Action Transparency (ICAT) – </t>
    </r>
    <r>
      <rPr>
        <rFont val="Georgia"/>
        <b/>
        <i/>
        <color theme="1"/>
        <sz val="10.0"/>
      </rPr>
      <t>Grants for Application of the Transformational Change Toolkit</t>
    </r>
  </si>
  <si>
    <t>Competitive grant / applied research</t>
  </si>
  <si>
    <t>Up to USD 40,000</t>
  </si>
  <si>
    <t>Support use of the ICAT Transformational Change Toolkit to assess national mitigation or adaptation policies; develop country case studies on transformational change.</t>
  </si>
  <si>
    <t>Developing countries (including Africa)</t>
  </si>
  <si>
    <t>Patchwork Collective</t>
  </si>
  <si>
    <t>—</t>
  </si>
  <si>
    <t>No public funding data.</t>
  </si>
  <si>
    <t>Evolve Foundation / Evolve Ventures</t>
  </si>
  <si>
    <t>Philanthropic grants / impact investments</t>
  </si>
  <si>
    <t>Variable</t>
  </si>
  <si>
    <t>Consciousness, wellbeing, social innovation, social transformation.</t>
  </si>
  <si>
    <t>Invitation only / rolling</t>
  </si>
  <si>
    <t>African Union Commission – Pan-Africa Think Tank Platform (ATTP)</t>
  </si>
  <si>
    <t>Research / convening grants</t>
  </si>
  <si>
    <t>USD 50k – 250k typical</t>
  </si>
  <si>
    <t>Strengthen policy research and regional convening on climate, digitalization, governance &amp; AI data platforms.</t>
  </si>
  <si>
    <t>Pan-Africa</t>
  </si>
  <si>
    <t>Next Round Opening 2026 (previous closed Sept 2025 – fund remains active for expressions of interest).</t>
  </si>
  <si>
    <t>Enel Foundation – Open Africa Power 2025</t>
  </si>
  <si>
    <t>Fellowship / accelerator</t>
  </si>
  <si>
    <t>(educational funding + travel + mentoring)</t>
  </si>
  <si>
    <t>Develop next-gen African energy leaders; research, grid tech, renewables.</t>
  </si>
  <si>
    <t>Mid-2025 (May 16, 2025)</t>
  </si>
  <si>
    <t>Open Africa Power (Enel Foundation)</t>
  </si>
  <si>
    <t>Fellowship / convening</t>
  </si>
  <si>
    <t>Training &amp; leadership in renewable energy, AI/data systems.</t>
  </si>
  <si>
    <t>Mid 2025 cohort (May 16, 2025)</t>
  </si>
  <si>
    <t>GIZ</t>
  </si>
  <si>
    <t>Potential funding for AfCEN digital platform</t>
  </si>
  <si>
    <t>Open early 2026</t>
  </si>
  <si>
    <t>GSMA Innovation Fund</t>
  </si>
  <si>
    <t>Equity-free grants + TA/mentoring (e.g., accelerator program, investor intros); project development (early to mid-stage prototypes/pilots; 18-24 months). Not core.</t>
  </si>
  <si>
    <t>Up to USD 250k (avg. £150k/~$190k; total £4.6M for 2025 cohort of 20+ projects).</t>
  </si>
  <si>
    <t>Focus on digital infrastructure that leverages the GSM community (e.g., telcos, data centres) - potential funding for AfCEN platform</t>
  </si>
  <si>
    <t xml:space="preserve">low- and middle-income countries (LMICs) globally, with every active round narrowing to specific regions. All African countries eligible </t>
  </si>
  <si>
    <t>Rolling/open (year-round EOI via online form; 2025 cohort ongoing—next review cycles Nov/Dec 2025; decisions in 3-6 months).</t>
  </si>
  <si>
    <t>Cardano</t>
  </si>
  <si>
    <t>Support to platform and partnership on tokenisation</t>
  </si>
  <si>
    <t>Draper Richards Kaplan (DRK) Foundation (Kaplan Foundation)</t>
  </si>
  <si>
    <t>Unrestricted grants/investment capital + TA (leadership coaching); core funding (early-stage org capacity-building) + project development (scaling impact models).</t>
  </si>
  <si>
    <t>Up to USD 300k (over 3 years; $100k–300k tranches; $50M+ portfolio).</t>
  </si>
  <si>
    <t>social/environmental (e.g., climate justice in Africa); 200+ orgs (e.g., early-stage renewables/agri).</t>
  </si>
  <si>
    <t>Global (Africa/SSA included; e.g., social enterprises in Kenya/Nigeria).</t>
  </si>
  <si>
    <t>Rolling/open (year-round applications; 3-year support; decisions in 6-9 months).</t>
  </si>
  <si>
    <t>- AfCEN fit: Unrestricted for platform launch/PPF.
- Early-stage only (under 5 years). Pitch: African-led orchestration for resilience.
- Perfect unrestricted core fit for early-stage org capacity (e.g., platform launch/PPF, climate justice in SSA); 200+ orgs funded with coaching. Urgent for Q4 inquiry to secure seed-like boost.</t>
  </si>
  <si>
    <t>- Send 2-3 page inquiry (org summary, scalability, team) via drkfoundation.org  
- Emphasize African-led resilience; 
- If shortlisted interviews to follow - assume that OR/ JN can represent AFCEN</t>
  </si>
  <si>
    <t>Humanity AI (Omidyar Network &amp; MacArthur Foundation)</t>
  </si>
  <si>
    <t>Grants/TA (pooled/aligned); project/core (people-centered AI initiatives, e.g., equity/governance pilots). Hybrid.</t>
  </si>
  <si>
    <t>Part of USD 500M pool (grants $100k–$5M+ TBD; fall 2025 pilots $500k–$2M via Omidyar/MacArthur)</t>
  </si>
  <si>
    <t>500-2m</t>
  </si>
  <si>
    <t>alignment to 5 areas (labor, humanities, governance, equity, environment).</t>
  </si>
  <si>
    <t>Global (Global South/beyond Silicon Valley; SSA/climate equity emphasis).</t>
  </si>
  <si>
    <t>Rolling/invitation-only (aligned grantmaking starts fall 2025 via partners; pooled fund grants from 2026; no open call yet—submit LOIs to co-chairs).</t>
  </si>
  <si>
    <t>- New coalition (10 foundations; $500M/5 years); focuses AI beyond Silicon Valley (e.g., Global South adaptation). 
- AfCEN fit: AI tools for energy/agri equity. Risk: Partner-led (leverage Omidyar ties). Pitch: Digital platform for inclusive AI in SSA climate.
- Ideal for AI in energy/agri equity (e.g., inclusive tools for SSA climate challenges); $500M pool for governance/environment. High urgency—LOI window open for Dec review.</t>
  </si>
  <si>
    <t>- Draft 3-5 page LOI (on AI for climate equity) via humanityAI@omidyar.com or macfound.org
- Leverage Macfound / Omidyar ties?</t>
  </si>
  <si>
    <t xml:space="preserve">Enabel Funding </t>
  </si>
  <si>
    <t>Mercy Corps Ventures – AI for Financial Resilience</t>
  </si>
  <si>
    <t>equity-free grants</t>
  </si>
  <si>
    <t>&lt;50k</t>
  </si>
  <si>
    <t>Rolling – first-come-first-served (open now, no fixed close)</t>
  </si>
  <si>
    <t>Yes (with Ag)</t>
  </si>
  <si>
    <t xml:space="preserve">High </t>
  </si>
  <si>
    <t>Perfect AI/digital platform fit: AI agents that give low-income households real-time financial advice tied to climate shocks (drought → crop insurance, flood → clean-cooking credit). 
Directly funds AfCEN’s tokenisation + predictive analytics layer.</t>
  </si>
  <si>
    <t>Breakthrough Energy Fellows (Innovators Track)</t>
  </si>
  <si>
    <t>Non-monetary ($0 direct; unlocks $100k–$1M+ investor access via BE Ventures).</t>
  </si>
  <si>
    <t>SSA-eligible, aligns with clean energy orchestration.</t>
  </si>
  <si>
    <t xml:space="preserve">Immediate </t>
  </si>
  <si>
    <t>Strong energy/digital fit for early-stage cleantech innovators (e.g., AfCEN's AI for renewables/grids, with 6-month fellowship training/networking);</t>
  </si>
  <si>
    <t xml:space="preserve">SDG Impact Finance Initiative </t>
  </si>
  <si>
    <t>Ashden Awards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</si>
</sst>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"/>
    <numFmt numFmtId="165" formatCode="d mmm yyyy"/>
    <numFmt numFmtId="166" formatCode="d mmm"/>
  </numFmts>
  <fonts count="6">
    <font>
      <sz val="12.0"/>
      <color theme="1"/>
      <name val="Aptos Narrow"/>
      <scheme val="minor"/>
    </font>
    <font>
      <b/>
      <sz val="10.0"/>
      <color theme="1"/>
      <name val="Georgia"/>
    </font>
    <font>
      <sz val="10.0"/>
      <color theme="1"/>
      <name val="Georgia"/>
    </font>
    <font>
      <b/>
      <sz val="10.0"/>
      <color rgb="FF000000"/>
      <name val="Georgia"/>
    </font>
    <font>
      <sz val="10.0"/>
      <color rgb="FF000000"/>
      <name val="Georgia"/>
    </font>
    <font>
      <u/>
      <sz val="10.0"/>
      <color theme="1"/>
      <name val="Georgia"/>
    </font>
  </fonts>
  <fills count="6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bottom style="medium">
        <color rgb="FFBFBFBF"/>
      </bottom>
    </border>
    <border>
      <right style="medium">
        <color rgb="FFBFBFBF"/>
      </right>
      <bottom style="medium">
        <color rgb="FFBFBFB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2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2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164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3" fontId="2" numFmtId="0" xfId="0" applyAlignment="1" applyFill="1" applyFont="1">
      <alignment horizontal="left" readingOrder="0" shrinkToFit="0" vertical="top" wrapText="1"/>
    </xf>
    <xf borderId="0" fillId="0" fontId="2" numFmtId="165" xfId="0" applyAlignment="1" applyFont="1" applyNumberFormat="1">
      <alignment horizontal="left" readingOrder="0" shrinkToFit="0" vertical="top" wrapText="1"/>
    </xf>
    <xf borderId="0" fillId="3" fontId="5" numFmtId="0" xfId="0" applyAlignment="1" applyFont="1">
      <alignment horizontal="left"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3" fillId="2" fontId="1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2" fillId="0" fontId="2" numFmtId="165" xfId="0" applyAlignment="1" applyBorder="1" applyFont="1" applyNumberFormat="1">
      <alignment horizontal="left" readingOrder="0" shrinkToFit="0" vertical="top" wrapText="1"/>
    </xf>
    <xf borderId="0" fillId="2" fontId="3" numFmtId="0" xfId="0" applyAlignment="1" applyFont="1">
      <alignment readingOrder="0" shrinkToFit="0" vertical="top" wrapText="1"/>
    </xf>
    <xf borderId="0" fillId="3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0" fillId="4" fontId="2" numFmtId="0" xfId="0" applyAlignment="1" applyFill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5" fontId="2" numFmtId="0" xfId="0" applyAlignment="1" applyFill="1" applyFont="1">
      <alignment readingOrder="0" shrinkToFit="0" vertical="top" wrapText="1"/>
    </xf>
    <xf borderId="0" fillId="3" fontId="2" numFmtId="0" xfId="0" applyAlignment="1" applyFont="1">
      <alignment shrinkToFit="0" vertical="top" wrapText="1"/>
    </xf>
    <xf borderId="0" fillId="0" fontId="2" numFmtId="166" xfId="0" applyAlignment="1" applyFont="1" applyNumberForma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fundsforngos.org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3" width="23.67"/>
    <col customWidth="1" min="4" max="4" width="18.0"/>
    <col customWidth="1" min="5" max="5" width="31.0"/>
    <col customWidth="1" min="6" max="8" width="23.67"/>
    <col customWidth="1" min="9" max="9" width="10.56"/>
    <col customWidth="1" min="10" max="10" width="11.89"/>
    <col customWidth="1" min="11" max="11" width="13.56"/>
    <col customWidth="1" min="12" max="12" width="12.89"/>
    <col customWidth="1" min="13" max="13" width="11.67"/>
    <col customWidth="1" min="14" max="14" width="12.11"/>
    <col customWidth="1" min="15" max="15" width="14.33"/>
    <col customWidth="1" min="16" max="16" width="14.89"/>
    <col customWidth="1" min="17" max="17" width="26.78"/>
    <col customWidth="1" min="18" max="18" width="29.89"/>
    <col customWidth="1" min="19" max="19" width="17.11"/>
    <col customWidth="1" min="20" max="20" width="14.44"/>
    <col customWidth="1" min="21" max="21" width="19.56"/>
    <col customWidth="1" min="22" max="22" width="14.89"/>
    <col customWidth="1" min="23" max="35" width="23.67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3"/>
      <c r="X1" s="3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15.75" customHeight="1">
      <c r="A2" s="5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7">
        <v>45970.0</v>
      </c>
      <c r="H2" s="8" t="s">
        <v>28</v>
      </c>
      <c r="I2" s="9"/>
      <c r="J2" s="9"/>
      <c r="K2" s="9"/>
      <c r="L2" s="10"/>
      <c r="M2" s="9"/>
      <c r="N2" s="9"/>
      <c r="O2" s="10" t="s">
        <v>29</v>
      </c>
      <c r="P2" s="11" t="s">
        <v>30</v>
      </c>
      <c r="Q2" s="11" t="s">
        <v>31</v>
      </c>
      <c r="R2" s="11" t="s">
        <v>32</v>
      </c>
      <c r="S2" s="10" t="s">
        <v>29</v>
      </c>
      <c r="T2" s="9"/>
      <c r="U2" s="10"/>
      <c r="V2" s="10" t="s">
        <v>29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15.75" customHeight="1">
      <c r="A3" s="1" t="s">
        <v>33</v>
      </c>
      <c r="B3" s="9" t="s">
        <v>34</v>
      </c>
      <c r="C3" s="9" t="s">
        <v>35</v>
      </c>
      <c r="D3" s="6" t="s">
        <v>36</v>
      </c>
      <c r="E3" s="9" t="s">
        <v>37</v>
      </c>
      <c r="F3" s="9" t="s">
        <v>38</v>
      </c>
      <c r="G3" s="12">
        <v>46003.0</v>
      </c>
      <c r="H3" s="6" t="s">
        <v>39</v>
      </c>
      <c r="I3" s="9"/>
      <c r="J3" s="9"/>
      <c r="K3" s="9"/>
      <c r="L3" s="9"/>
      <c r="M3" s="6" t="s">
        <v>40</v>
      </c>
      <c r="N3" s="9"/>
      <c r="O3" s="9"/>
      <c r="P3" s="11" t="s">
        <v>30</v>
      </c>
      <c r="Q3" s="11" t="s">
        <v>41</v>
      </c>
      <c r="R3" s="11" t="s">
        <v>42</v>
      </c>
      <c r="S3" s="10" t="s">
        <v>29</v>
      </c>
      <c r="T3" s="9"/>
      <c r="U3" s="9"/>
      <c r="V3" s="11" t="s">
        <v>43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15.75" customHeight="1">
      <c r="A4" s="1" t="s">
        <v>44</v>
      </c>
      <c r="B4" s="9" t="s">
        <v>45</v>
      </c>
      <c r="C4" s="9" t="s">
        <v>46</v>
      </c>
      <c r="D4" s="6" t="s">
        <v>25</v>
      </c>
      <c r="E4" s="9" t="s">
        <v>47</v>
      </c>
      <c r="F4" s="9" t="s">
        <v>48</v>
      </c>
      <c r="G4" s="12">
        <v>46022.0</v>
      </c>
      <c r="H4" s="6" t="s">
        <v>49</v>
      </c>
      <c r="I4" s="9"/>
      <c r="J4" s="9"/>
      <c r="K4" s="9"/>
      <c r="L4" s="9"/>
      <c r="M4" s="10" t="s">
        <v>29</v>
      </c>
      <c r="N4" s="9"/>
      <c r="O4" s="9"/>
      <c r="P4" s="11" t="s">
        <v>30</v>
      </c>
      <c r="Q4" s="11" t="s">
        <v>50</v>
      </c>
      <c r="R4" s="13" t="s">
        <v>51</v>
      </c>
      <c r="S4" s="9"/>
      <c r="T4" s="9"/>
      <c r="U4" s="9"/>
      <c r="V4" s="9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5.75" customHeight="1">
      <c r="A5" s="1"/>
      <c r="B5" s="9"/>
      <c r="C5" s="10"/>
      <c r="D5" s="6"/>
      <c r="E5" s="9"/>
      <c r="F5" s="9"/>
      <c r="G5" s="10"/>
      <c r="H5" s="6"/>
      <c r="I5" s="9"/>
      <c r="J5" s="9"/>
      <c r="K5" s="9"/>
      <c r="L5" s="9"/>
      <c r="M5" s="10"/>
      <c r="N5" s="9"/>
      <c r="O5" s="9"/>
      <c r="P5" s="11"/>
      <c r="Q5" s="14"/>
      <c r="R5" s="14"/>
      <c r="S5" s="9"/>
      <c r="T5" s="9"/>
      <c r="U5" s="9"/>
      <c r="V5" s="9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15.75" customHeight="1">
      <c r="A6" s="1" t="s">
        <v>52</v>
      </c>
      <c r="B6" s="9" t="s">
        <v>53</v>
      </c>
      <c r="C6" s="10" t="s">
        <v>54</v>
      </c>
      <c r="D6" s="6" t="s">
        <v>55</v>
      </c>
      <c r="E6" s="9" t="s">
        <v>56</v>
      </c>
      <c r="F6" s="9" t="s">
        <v>57</v>
      </c>
      <c r="G6" s="10" t="s">
        <v>58</v>
      </c>
      <c r="H6" s="6" t="s">
        <v>59</v>
      </c>
      <c r="I6" s="9"/>
      <c r="J6" s="9"/>
      <c r="K6" s="9"/>
      <c r="L6" s="9"/>
      <c r="M6" s="10" t="s">
        <v>29</v>
      </c>
      <c r="N6" s="9"/>
      <c r="O6" s="9"/>
      <c r="P6" s="11" t="s">
        <v>60</v>
      </c>
      <c r="Q6" s="14" t="s">
        <v>61</v>
      </c>
      <c r="R6" s="14"/>
      <c r="S6" s="9"/>
      <c r="T6" s="9"/>
      <c r="U6" s="9"/>
      <c r="V6" s="9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15.75" customHeight="1">
      <c r="A7" s="1" t="s">
        <v>62</v>
      </c>
      <c r="B7" s="9" t="s">
        <v>63</v>
      </c>
      <c r="C7" s="10" t="s">
        <v>64</v>
      </c>
      <c r="D7" s="6" t="s">
        <v>65</v>
      </c>
      <c r="E7" s="9" t="s">
        <v>66</v>
      </c>
      <c r="F7" s="9" t="s">
        <v>67</v>
      </c>
      <c r="G7" s="12">
        <v>45932.0</v>
      </c>
      <c r="H7" s="8" t="s">
        <v>68</v>
      </c>
      <c r="I7" s="9"/>
      <c r="J7" s="9"/>
      <c r="K7" s="9"/>
      <c r="L7" s="10" t="s">
        <v>29</v>
      </c>
      <c r="M7" s="9"/>
      <c r="N7" s="9"/>
      <c r="O7" s="9"/>
      <c r="P7" s="11" t="s">
        <v>30</v>
      </c>
      <c r="Q7" s="14" t="s">
        <v>69</v>
      </c>
      <c r="R7" s="14"/>
      <c r="S7" s="9"/>
      <c r="T7" s="9"/>
      <c r="U7" s="9"/>
      <c r="V7" s="9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15.75" customHeight="1">
      <c r="A8" s="15" t="s">
        <v>70</v>
      </c>
      <c r="B8" s="16" t="s">
        <v>71</v>
      </c>
      <c r="C8" s="16" t="s">
        <v>72</v>
      </c>
      <c r="D8" s="6" t="s">
        <v>25</v>
      </c>
      <c r="E8" s="16" t="s">
        <v>73</v>
      </c>
      <c r="F8" s="16" t="s">
        <v>74</v>
      </c>
      <c r="G8" s="17" t="s">
        <v>75</v>
      </c>
      <c r="H8" s="8" t="s">
        <v>68</v>
      </c>
      <c r="I8" s="9"/>
      <c r="J8" s="9"/>
      <c r="K8" s="9"/>
      <c r="L8" s="9"/>
      <c r="M8" s="9"/>
      <c r="N8" s="9"/>
      <c r="O8" s="10" t="s">
        <v>29</v>
      </c>
      <c r="P8" s="11" t="s">
        <v>76</v>
      </c>
      <c r="Q8" s="11" t="s">
        <v>77</v>
      </c>
      <c r="R8" s="11"/>
      <c r="S8" s="10" t="s">
        <v>78</v>
      </c>
      <c r="T8" s="9"/>
      <c r="U8" s="9"/>
      <c r="V8" s="9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5.75" customHeight="1">
      <c r="A9" s="15" t="s">
        <v>79</v>
      </c>
      <c r="B9" s="16" t="s">
        <v>80</v>
      </c>
      <c r="C9" s="17" t="s">
        <v>81</v>
      </c>
      <c r="D9" s="6" t="s">
        <v>65</v>
      </c>
      <c r="E9" s="16" t="s">
        <v>82</v>
      </c>
      <c r="F9" s="16" t="s">
        <v>83</v>
      </c>
      <c r="G9" s="17"/>
      <c r="H9" s="10" t="s">
        <v>75</v>
      </c>
      <c r="I9" s="10" t="s">
        <v>29</v>
      </c>
      <c r="J9" s="9"/>
      <c r="K9" s="9"/>
      <c r="L9" s="9"/>
      <c r="M9" s="9"/>
      <c r="N9" s="9"/>
      <c r="O9" s="9"/>
      <c r="P9" s="11" t="s">
        <v>30</v>
      </c>
      <c r="Q9" s="11"/>
      <c r="R9" s="11"/>
      <c r="S9" s="10" t="s">
        <v>78</v>
      </c>
      <c r="T9" s="9"/>
      <c r="U9" s="9"/>
      <c r="V9" s="9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5.75" customHeight="1">
      <c r="A10" s="18" t="s">
        <v>84</v>
      </c>
      <c r="B10" s="19" t="s">
        <v>85</v>
      </c>
      <c r="C10" s="20" t="s">
        <v>86</v>
      </c>
      <c r="D10" s="6" t="s">
        <v>55</v>
      </c>
      <c r="E10" s="19" t="s">
        <v>87</v>
      </c>
      <c r="F10" s="19" t="s">
        <v>88</v>
      </c>
      <c r="G10" s="20" t="s">
        <v>89</v>
      </c>
      <c r="H10" s="6" t="s">
        <v>68</v>
      </c>
      <c r="I10" s="9"/>
      <c r="J10" s="6" t="s">
        <v>90</v>
      </c>
      <c r="K10" s="9"/>
      <c r="L10" s="9"/>
      <c r="M10" s="9"/>
      <c r="N10" s="9"/>
      <c r="O10" s="9"/>
      <c r="P10" s="11" t="s">
        <v>30</v>
      </c>
      <c r="Q10" s="14" t="s">
        <v>91</v>
      </c>
      <c r="R10" s="14"/>
      <c r="S10" s="9"/>
      <c r="T10" s="9"/>
      <c r="U10" s="9"/>
      <c r="V10" s="9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5.75" customHeight="1">
      <c r="A11" s="15" t="s">
        <v>92</v>
      </c>
      <c r="B11" s="16" t="s">
        <v>93</v>
      </c>
      <c r="C11" s="17" t="s">
        <v>94</v>
      </c>
      <c r="D11" s="6" t="s">
        <v>65</v>
      </c>
      <c r="E11" s="16" t="s">
        <v>95</v>
      </c>
      <c r="F11" s="16" t="s">
        <v>96</v>
      </c>
      <c r="G11" s="17" t="s">
        <v>97</v>
      </c>
      <c r="H11" s="8" t="s">
        <v>98</v>
      </c>
      <c r="I11" s="10" t="s">
        <v>99</v>
      </c>
      <c r="J11" s="9"/>
      <c r="K11" s="10" t="s">
        <v>100</v>
      </c>
      <c r="L11" s="9"/>
      <c r="M11" s="9"/>
      <c r="N11" s="9"/>
      <c r="O11" s="10" t="s">
        <v>29</v>
      </c>
      <c r="P11" s="11" t="s">
        <v>30</v>
      </c>
      <c r="Q11" s="11" t="s">
        <v>101</v>
      </c>
      <c r="R11" s="11" t="s">
        <v>102</v>
      </c>
      <c r="S11" s="9"/>
      <c r="T11" s="9"/>
      <c r="U11" s="9"/>
      <c r="V11" s="9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5.75" customHeight="1">
      <c r="A12" s="18" t="s">
        <v>103</v>
      </c>
      <c r="B12" s="19" t="s">
        <v>104</v>
      </c>
      <c r="C12" s="19" t="s">
        <v>105</v>
      </c>
      <c r="D12" s="6" t="s">
        <v>25</v>
      </c>
      <c r="E12" s="19" t="s">
        <v>106</v>
      </c>
      <c r="F12" s="19" t="s">
        <v>107</v>
      </c>
      <c r="G12" s="19" t="s">
        <v>108</v>
      </c>
      <c r="H12" s="6" t="s">
        <v>98</v>
      </c>
      <c r="I12" s="10" t="s">
        <v>29</v>
      </c>
      <c r="J12" s="9"/>
      <c r="K12" s="9"/>
      <c r="L12" s="9"/>
      <c r="M12" s="9"/>
      <c r="N12" s="9"/>
      <c r="O12" s="9"/>
      <c r="P12" s="11" t="s">
        <v>30</v>
      </c>
      <c r="Q12" s="11"/>
      <c r="R12" s="11"/>
      <c r="S12" s="10" t="s">
        <v>109</v>
      </c>
      <c r="T12" s="9"/>
      <c r="U12" s="9"/>
      <c r="V12" s="10" t="s">
        <v>29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5.75" customHeight="1">
      <c r="A13" s="18" t="s">
        <v>110</v>
      </c>
      <c r="B13" s="19" t="s">
        <v>111</v>
      </c>
      <c r="C13" s="20" t="s">
        <v>112</v>
      </c>
      <c r="D13" s="6" t="s">
        <v>113</v>
      </c>
      <c r="E13" s="19" t="s">
        <v>114</v>
      </c>
      <c r="F13" s="19" t="s">
        <v>115</v>
      </c>
      <c r="G13" s="19" t="s">
        <v>116</v>
      </c>
      <c r="H13" s="6" t="s">
        <v>68</v>
      </c>
      <c r="I13" s="10" t="s">
        <v>29</v>
      </c>
      <c r="J13" s="9"/>
      <c r="K13" s="9"/>
      <c r="L13" s="9"/>
      <c r="M13" s="9"/>
      <c r="N13" s="9"/>
      <c r="O13" s="9"/>
      <c r="P13" s="11" t="s">
        <v>30</v>
      </c>
      <c r="Q13" s="11"/>
      <c r="R13" s="11"/>
      <c r="S13" s="9"/>
      <c r="T13" s="9"/>
      <c r="U13" s="9"/>
      <c r="V13" s="9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5.75" customHeight="1">
      <c r="A14" s="18" t="s">
        <v>117</v>
      </c>
      <c r="B14" s="19" t="s">
        <v>118</v>
      </c>
      <c r="C14" s="21"/>
      <c r="D14" s="6" t="s">
        <v>65</v>
      </c>
      <c r="E14" s="19" t="s">
        <v>119</v>
      </c>
      <c r="F14" s="19" t="s">
        <v>120</v>
      </c>
      <c r="G14" s="20" t="s">
        <v>121</v>
      </c>
      <c r="H14" s="8" t="s">
        <v>98</v>
      </c>
      <c r="I14" s="9"/>
      <c r="J14" s="9"/>
      <c r="K14" s="6" t="s">
        <v>90</v>
      </c>
      <c r="L14" s="9"/>
      <c r="M14" s="9"/>
      <c r="N14" s="9"/>
      <c r="O14" s="9"/>
      <c r="P14" s="11" t="s">
        <v>30</v>
      </c>
      <c r="Q14" s="11" t="s">
        <v>122</v>
      </c>
      <c r="R14" s="14" t="s">
        <v>123</v>
      </c>
      <c r="S14" s="9"/>
      <c r="T14" s="9"/>
      <c r="U14" s="9"/>
      <c r="V14" s="9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5.75" customHeight="1">
      <c r="A15" s="18" t="s">
        <v>124</v>
      </c>
      <c r="B15" s="19" t="s">
        <v>125</v>
      </c>
      <c r="C15" s="19" t="s">
        <v>126</v>
      </c>
      <c r="D15" s="6" t="s">
        <v>65</v>
      </c>
      <c r="E15" s="19" t="s">
        <v>127</v>
      </c>
      <c r="F15" s="19" t="s">
        <v>128</v>
      </c>
      <c r="G15" s="20" t="s">
        <v>98</v>
      </c>
      <c r="H15" s="8" t="s">
        <v>98</v>
      </c>
      <c r="I15" s="6" t="s">
        <v>129</v>
      </c>
      <c r="J15" s="9"/>
      <c r="K15" s="6" t="s">
        <v>129</v>
      </c>
      <c r="L15" s="9"/>
      <c r="M15" s="9"/>
      <c r="N15" s="9"/>
      <c r="O15" s="10" t="s">
        <v>29</v>
      </c>
      <c r="P15" s="11" t="s">
        <v>60</v>
      </c>
      <c r="Q15" s="11" t="s">
        <v>130</v>
      </c>
      <c r="R15" s="11"/>
      <c r="S15" s="9"/>
      <c r="T15" s="9"/>
      <c r="U15" s="9"/>
      <c r="V15" s="9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5.75" customHeight="1">
      <c r="A16" s="15" t="s">
        <v>131</v>
      </c>
      <c r="B16" s="16" t="s">
        <v>132</v>
      </c>
      <c r="C16" s="16" t="s">
        <v>133</v>
      </c>
      <c r="D16" s="6" t="s">
        <v>134</v>
      </c>
      <c r="E16" s="16" t="s">
        <v>135</v>
      </c>
      <c r="F16" s="16" t="s">
        <v>136</v>
      </c>
      <c r="G16" s="16" t="s">
        <v>137</v>
      </c>
      <c r="H16" s="8" t="s">
        <v>98</v>
      </c>
      <c r="I16" s="9"/>
      <c r="J16" s="9"/>
      <c r="K16" s="6" t="s">
        <v>138</v>
      </c>
      <c r="L16" s="9"/>
      <c r="M16" s="9"/>
      <c r="N16" s="9"/>
      <c r="O16" s="10" t="s">
        <v>29</v>
      </c>
      <c r="P16" s="11" t="s">
        <v>60</v>
      </c>
      <c r="Q16" s="11"/>
      <c r="R16" s="11"/>
      <c r="S16" s="9"/>
      <c r="T16" s="9"/>
      <c r="U16" s="9"/>
      <c r="V16" s="9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5.75" customHeight="1">
      <c r="A17" s="18" t="s">
        <v>139</v>
      </c>
      <c r="B17" s="22" t="s">
        <v>140</v>
      </c>
      <c r="C17" s="22" t="s">
        <v>141</v>
      </c>
      <c r="D17" s="6" t="s">
        <v>36</v>
      </c>
      <c r="E17" s="22" t="s">
        <v>142</v>
      </c>
      <c r="F17" s="22" t="s">
        <v>143</v>
      </c>
      <c r="G17" s="23" t="s">
        <v>144</v>
      </c>
      <c r="H17" s="8" t="s">
        <v>68</v>
      </c>
      <c r="I17" s="9"/>
      <c r="J17" s="9"/>
      <c r="K17" s="9"/>
      <c r="L17" s="9"/>
      <c r="M17" s="9"/>
      <c r="N17" s="9"/>
      <c r="O17" s="10" t="s">
        <v>29</v>
      </c>
      <c r="P17" s="11" t="s">
        <v>30</v>
      </c>
      <c r="Q17" s="11"/>
      <c r="R17" s="11"/>
      <c r="S17" s="9"/>
      <c r="T17" s="9"/>
      <c r="U17" s="9"/>
      <c r="V17" s="9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5.75" customHeight="1">
      <c r="A18" s="18" t="s">
        <v>145</v>
      </c>
      <c r="B18" s="19" t="s">
        <v>146</v>
      </c>
      <c r="C18" s="20" t="s">
        <v>147</v>
      </c>
      <c r="D18" s="6" t="s">
        <v>134</v>
      </c>
      <c r="E18" s="19" t="s">
        <v>148</v>
      </c>
      <c r="F18" s="19" t="s">
        <v>149</v>
      </c>
      <c r="G18" s="19" t="s">
        <v>150</v>
      </c>
      <c r="H18" s="8" t="s">
        <v>68</v>
      </c>
      <c r="I18" s="9"/>
      <c r="J18" s="9"/>
      <c r="K18" s="9"/>
      <c r="L18" s="9"/>
      <c r="M18" s="9"/>
      <c r="N18" s="9"/>
      <c r="O18" s="10" t="s">
        <v>29</v>
      </c>
      <c r="P18" s="11" t="s">
        <v>30</v>
      </c>
      <c r="Q18" s="14" t="s">
        <v>151</v>
      </c>
      <c r="R18" s="14"/>
      <c r="S18" s="9"/>
      <c r="T18" s="9"/>
      <c r="U18" s="9"/>
      <c r="V18" s="9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5.75" customHeight="1">
      <c r="A19" s="24" t="s">
        <v>152</v>
      </c>
      <c r="B19" s="22" t="s">
        <v>153</v>
      </c>
      <c r="C19" s="22" t="s">
        <v>154</v>
      </c>
      <c r="D19" s="6" t="s">
        <v>55</v>
      </c>
      <c r="E19" s="22" t="s">
        <v>155</v>
      </c>
      <c r="F19" s="22" t="s">
        <v>156</v>
      </c>
      <c r="G19" s="22" t="s">
        <v>157</v>
      </c>
      <c r="H19" s="8" t="s">
        <v>98</v>
      </c>
      <c r="I19" s="6" t="s">
        <v>129</v>
      </c>
      <c r="J19" s="9"/>
      <c r="K19" s="6" t="s">
        <v>129</v>
      </c>
      <c r="L19" s="9"/>
      <c r="M19" s="9"/>
      <c r="N19" s="9"/>
      <c r="O19" s="10" t="s">
        <v>29</v>
      </c>
      <c r="P19" s="11" t="s">
        <v>30</v>
      </c>
      <c r="Q19" s="11" t="s">
        <v>158</v>
      </c>
      <c r="R19" s="14" t="s">
        <v>159</v>
      </c>
      <c r="S19" s="9"/>
      <c r="T19" s="9"/>
      <c r="U19" s="9"/>
      <c r="V19" s="9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5.75" customHeight="1">
      <c r="A20" s="24" t="s">
        <v>160</v>
      </c>
      <c r="B20" s="22" t="s">
        <v>161</v>
      </c>
      <c r="C20" s="22" t="s">
        <v>162</v>
      </c>
      <c r="D20" s="6" t="s">
        <v>163</v>
      </c>
      <c r="E20" s="22" t="s">
        <v>164</v>
      </c>
      <c r="F20" s="22" t="s">
        <v>165</v>
      </c>
      <c r="G20" s="22" t="s">
        <v>157</v>
      </c>
      <c r="H20" s="8" t="s">
        <v>98</v>
      </c>
      <c r="I20" s="6" t="s">
        <v>90</v>
      </c>
      <c r="J20" s="9"/>
      <c r="K20" s="9"/>
      <c r="L20" s="9"/>
      <c r="M20" s="9"/>
      <c r="N20" s="9"/>
      <c r="O20" s="6" t="s">
        <v>29</v>
      </c>
      <c r="P20" s="11" t="s">
        <v>30</v>
      </c>
      <c r="Q20" s="11" t="s">
        <v>166</v>
      </c>
      <c r="R20" s="14" t="s">
        <v>167</v>
      </c>
      <c r="S20" s="9"/>
      <c r="T20" s="9"/>
      <c r="U20" s="9"/>
      <c r="V20" s="9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5.75" customHeight="1">
      <c r="A21" s="18" t="s">
        <v>168</v>
      </c>
      <c r="B21" s="19" t="s">
        <v>169</v>
      </c>
      <c r="C21" s="19" t="s">
        <v>170</v>
      </c>
      <c r="D21" s="6" t="s">
        <v>65</v>
      </c>
      <c r="E21" s="19" t="s">
        <v>171</v>
      </c>
      <c r="F21" s="19" t="s">
        <v>172</v>
      </c>
      <c r="G21" s="19" t="s">
        <v>157</v>
      </c>
      <c r="H21" s="8" t="s">
        <v>98</v>
      </c>
      <c r="I21" s="6" t="s">
        <v>90</v>
      </c>
      <c r="J21" s="9"/>
      <c r="K21" s="9"/>
      <c r="L21" s="9"/>
      <c r="M21" s="9"/>
      <c r="N21" s="9"/>
      <c r="O21" s="10" t="s">
        <v>29</v>
      </c>
      <c r="P21" s="11" t="s">
        <v>60</v>
      </c>
      <c r="Q21" s="11" t="s">
        <v>173</v>
      </c>
      <c r="R21" s="11"/>
      <c r="S21" s="9"/>
      <c r="T21" s="9"/>
      <c r="U21" s="9"/>
      <c r="V21" s="9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5.75" customHeight="1">
      <c r="A22" s="15" t="s">
        <v>174</v>
      </c>
      <c r="B22" s="16" t="s">
        <v>175</v>
      </c>
      <c r="C22" s="16" t="s">
        <v>176</v>
      </c>
      <c r="D22" s="6" t="s">
        <v>65</v>
      </c>
      <c r="E22" s="16" t="s">
        <v>177</v>
      </c>
      <c r="F22" s="16" t="s">
        <v>178</v>
      </c>
      <c r="G22" s="16" t="s">
        <v>179</v>
      </c>
      <c r="H22" s="6" t="s">
        <v>98</v>
      </c>
      <c r="I22" s="10" t="s">
        <v>29</v>
      </c>
      <c r="J22" s="9"/>
      <c r="K22" s="9"/>
      <c r="L22" s="9"/>
      <c r="M22" s="9"/>
      <c r="N22" s="9"/>
      <c r="O22" s="10" t="s">
        <v>29</v>
      </c>
      <c r="P22" s="11" t="s">
        <v>60</v>
      </c>
      <c r="Q22" s="14" t="s">
        <v>180</v>
      </c>
      <c r="R22" s="14"/>
      <c r="S22" s="9"/>
      <c r="T22" s="9"/>
      <c r="U22" s="9"/>
      <c r="V22" s="9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5.75" customHeight="1">
      <c r="A23" s="18" t="s">
        <v>181</v>
      </c>
      <c r="B23" s="19" t="s">
        <v>182</v>
      </c>
      <c r="C23" s="19" t="s">
        <v>183</v>
      </c>
      <c r="D23" s="6" t="s">
        <v>65</v>
      </c>
      <c r="E23" s="19" t="s">
        <v>184</v>
      </c>
      <c r="F23" s="19" t="s">
        <v>185</v>
      </c>
      <c r="G23" s="19" t="s">
        <v>186</v>
      </c>
      <c r="H23" s="8" t="s">
        <v>98</v>
      </c>
      <c r="I23" s="9"/>
      <c r="J23" s="9"/>
      <c r="K23" s="9"/>
      <c r="L23" s="9"/>
      <c r="M23" s="9"/>
      <c r="N23" s="9"/>
      <c r="O23" s="10" t="s">
        <v>29</v>
      </c>
      <c r="P23" s="11" t="s">
        <v>60</v>
      </c>
      <c r="Q23" s="11" t="s">
        <v>187</v>
      </c>
      <c r="R23" s="11"/>
      <c r="S23" s="9"/>
      <c r="T23" s="9"/>
      <c r="U23" s="9"/>
      <c r="V23" s="9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5.75" customHeight="1">
      <c r="A24" s="18" t="s">
        <v>188</v>
      </c>
      <c r="B24" s="19" t="s">
        <v>189</v>
      </c>
      <c r="C24" s="19" t="s">
        <v>190</v>
      </c>
      <c r="D24" s="6" t="s">
        <v>65</v>
      </c>
      <c r="E24" s="19" t="s">
        <v>191</v>
      </c>
      <c r="F24" s="19" t="s">
        <v>192</v>
      </c>
      <c r="G24" s="19" t="s">
        <v>193</v>
      </c>
      <c r="H24" s="10" t="s">
        <v>194</v>
      </c>
      <c r="I24" s="9"/>
      <c r="J24" s="9"/>
      <c r="K24" s="9"/>
      <c r="L24" s="9"/>
      <c r="M24" s="9"/>
      <c r="N24" s="6" t="s">
        <v>90</v>
      </c>
      <c r="O24" s="6"/>
      <c r="P24" s="11" t="s">
        <v>76</v>
      </c>
      <c r="Q24" s="14" t="s">
        <v>195</v>
      </c>
      <c r="R24" s="14"/>
      <c r="S24" s="9"/>
      <c r="T24" s="9"/>
      <c r="U24" s="9"/>
      <c r="V24" s="9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5.75" customHeight="1">
      <c r="A25" s="18" t="s">
        <v>196</v>
      </c>
      <c r="B25" s="19" t="s">
        <v>197</v>
      </c>
      <c r="C25" s="19" t="s">
        <v>198</v>
      </c>
      <c r="D25" s="25" t="s">
        <v>134</v>
      </c>
      <c r="E25" s="19" t="s">
        <v>199</v>
      </c>
      <c r="F25" s="19" t="s">
        <v>200</v>
      </c>
      <c r="G25" s="19" t="s">
        <v>201</v>
      </c>
      <c r="H25" s="6" t="s">
        <v>68</v>
      </c>
      <c r="I25" s="9"/>
      <c r="J25" s="9"/>
      <c r="K25" s="9"/>
      <c r="L25" s="9"/>
      <c r="M25" s="10" t="s">
        <v>29</v>
      </c>
      <c r="N25" s="9"/>
      <c r="O25" s="9"/>
      <c r="P25" s="11" t="s">
        <v>76</v>
      </c>
      <c r="Q25" s="11"/>
      <c r="R25" s="11"/>
      <c r="S25" s="9"/>
      <c r="T25" s="9"/>
      <c r="U25" s="9"/>
      <c r="V25" s="9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5.75" customHeight="1">
      <c r="A26" s="18" t="s">
        <v>202</v>
      </c>
      <c r="B26" s="19" t="s">
        <v>125</v>
      </c>
      <c r="C26" s="19" t="s">
        <v>203</v>
      </c>
      <c r="D26" s="6" t="s">
        <v>55</v>
      </c>
      <c r="E26" s="19" t="s">
        <v>204</v>
      </c>
      <c r="F26" s="19" t="s">
        <v>205</v>
      </c>
      <c r="G26" s="19" t="s">
        <v>206</v>
      </c>
      <c r="H26" s="8" t="s">
        <v>98</v>
      </c>
      <c r="I26" s="9"/>
      <c r="J26" s="9"/>
      <c r="K26" s="9"/>
      <c r="L26" s="9"/>
      <c r="M26" s="9"/>
      <c r="N26" s="9"/>
      <c r="O26" s="10" t="s">
        <v>29</v>
      </c>
      <c r="P26" s="11" t="s">
        <v>76</v>
      </c>
      <c r="Q26" s="11"/>
      <c r="R26" s="11"/>
      <c r="S26" s="9"/>
      <c r="T26" s="9"/>
      <c r="U26" s="9"/>
      <c r="V26" s="9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5.75" customHeight="1">
      <c r="A27" s="18" t="s">
        <v>207</v>
      </c>
      <c r="B27" s="19" t="s">
        <v>208</v>
      </c>
      <c r="C27" s="19" t="s">
        <v>209</v>
      </c>
      <c r="D27" s="6" t="s">
        <v>65</v>
      </c>
      <c r="E27" s="19" t="s">
        <v>210</v>
      </c>
      <c r="F27" s="19" t="s">
        <v>205</v>
      </c>
      <c r="G27" s="19" t="s">
        <v>206</v>
      </c>
      <c r="H27" s="8" t="s">
        <v>98</v>
      </c>
      <c r="I27" s="9"/>
      <c r="J27" s="9"/>
      <c r="K27" s="9"/>
      <c r="L27" s="9"/>
      <c r="M27" s="9"/>
      <c r="N27" s="9"/>
      <c r="O27" s="10" t="s">
        <v>29</v>
      </c>
      <c r="P27" s="11" t="s">
        <v>76</v>
      </c>
      <c r="Q27" s="11"/>
      <c r="R27" s="11"/>
      <c r="S27" s="9"/>
      <c r="T27" s="9"/>
      <c r="U27" s="9"/>
      <c r="V27" s="9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5.75" customHeight="1">
      <c r="A28" s="18" t="s">
        <v>211</v>
      </c>
      <c r="B28" s="19" t="s">
        <v>212</v>
      </c>
      <c r="C28" s="19" t="s">
        <v>213</v>
      </c>
      <c r="D28" s="6" t="s">
        <v>25</v>
      </c>
      <c r="E28" s="19" t="s">
        <v>214</v>
      </c>
      <c r="F28" s="19" t="s">
        <v>215</v>
      </c>
      <c r="G28" s="19" t="s">
        <v>216</v>
      </c>
      <c r="H28" s="8" t="s">
        <v>98</v>
      </c>
      <c r="I28" s="9"/>
      <c r="J28" s="9"/>
      <c r="K28" s="9"/>
      <c r="L28" s="9"/>
      <c r="M28" s="9"/>
      <c r="N28" s="9"/>
      <c r="O28" s="10" t="s">
        <v>29</v>
      </c>
      <c r="P28" s="11" t="s">
        <v>76</v>
      </c>
      <c r="Q28" s="11"/>
      <c r="R28" s="11"/>
      <c r="S28" s="9"/>
      <c r="T28" s="9"/>
      <c r="U28" s="9"/>
      <c r="V28" s="9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5.75" customHeight="1">
      <c r="A29" s="24" t="s">
        <v>217</v>
      </c>
      <c r="B29" s="22" t="s">
        <v>218</v>
      </c>
      <c r="C29" s="22" t="s">
        <v>219</v>
      </c>
      <c r="D29" s="6" t="s">
        <v>25</v>
      </c>
      <c r="E29" s="22" t="s">
        <v>220</v>
      </c>
      <c r="F29" s="22" t="s">
        <v>221</v>
      </c>
      <c r="G29" s="22" t="s">
        <v>222</v>
      </c>
      <c r="H29" s="8" t="s">
        <v>223</v>
      </c>
      <c r="I29" s="9"/>
      <c r="J29" s="9"/>
      <c r="K29" s="9"/>
      <c r="L29" s="6" t="s">
        <v>224</v>
      </c>
      <c r="M29" s="9"/>
      <c r="N29" s="9"/>
      <c r="O29" s="10" t="s">
        <v>29</v>
      </c>
      <c r="P29" s="11" t="s">
        <v>225</v>
      </c>
      <c r="Q29" s="11" t="s">
        <v>226</v>
      </c>
      <c r="R29" s="11"/>
      <c r="S29" s="9"/>
      <c r="T29" s="9"/>
      <c r="U29" s="9"/>
      <c r="V29" s="9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5.75" customHeight="1">
      <c r="A30" s="18" t="s">
        <v>227</v>
      </c>
      <c r="B30" s="19" t="s">
        <v>125</v>
      </c>
      <c r="C30" s="19" t="s">
        <v>228</v>
      </c>
      <c r="D30" s="6" t="s">
        <v>36</v>
      </c>
      <c r="E30" s="19" t="s">
        <v>229</v>
      </c>
      <c r="F30" s="19" t="s">
        <v>230</v>
      </c>
      <c r="G30" s="20" t="s">
        <v>98</v>
      </c>
      <c r="H30" s="8" t="s">
        <v>98</v>
      </c>
      <c r="I30" s="9"/>
      <c r="J30" s="9"/>
      <c r="K30" s="9"/>
      <c r="L30" s="9"/>
      <c r="M30" s="9"/>
      <c r="N30" s="9"/>
      <c r="O30" s="10" t="s">
        <v>231</v>
      </c>
      <c r="P30" s="11" t="s">
        <v>225</v>
      </c>
      <c r="Q30" s="11" t="s">
        <v>232</v>
      </c>
      <c r="R30" s="11"/>
      <c r="S30" s="9"/>
      <c r="T30" s="9"/>
      <c r="U30" s="9"/>
      <c r="V30" s="9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5.75" customHeight="1">
      <c r="A31" s="15" t="s">
        <v>233</v>
      </c>
      <c r="B31" s="16" t="s">
        <v>234</v>
      </c>
      <c r="C31" s="16" t="s">
        <v>235</v>
      </c>
      <c r="D31" s="6" t="s">
        <v>25</v>
      </c>
      <c r="E31" s="16" t="s">
        <v>236</v>
      </c>
      <c r="F31" s="16" t="s">
        <v>237</v>
      </c>
      <c r="G31" s="26">
        <v>45728.0</v>
      </c>
      <c r="H31" s="8" t="s">
        <v>68</v>
      </c>
      <c r="I31" s="9"/>
      <c r="J31" s="9"/>
      <c r="K31" s="9"/>
      <c r="L31" s="9"/>
      <c r="M31" s="9"/>
      <c r="N31" s="9"/>
      <c r="O31" s="10" t="s">
        <v>29</v>
      </c>
      <c r="P31" s="11" t="s">
        <v>60</v>
      </c>
      <c r="Q31" s="11"/>
      <c r="R31" s="11"/>
      <c r="S31" s="9"/>
      <c r="T31" s="9"/>
      <c r="U31" s="9"/>
      <c r="V31" s="9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5.75" customHeight="1">
      <c r="A32" s="18" t="s">
        <v>238</v>
      </c>
      <c r="B32" s="19" t="s">
        <v>203</v>
      </c>
      <c r="C32" s="19" t="s">
        <v>239</v>
      </c>
      <c r="D32" s="6" t="s">
        <v>55</v>
      </c>
      <c r="E32" s="19" t="s">
        <v>240</v>
      </c>
      <c r="F32" s="19" t="s">
        <v>239</v>
      </c>
      <c r="G32" s="19" t="s">
        <v>239</v>
      </c>
      <c r="H32" s="8" t="s">
        <v>98</v>
      </c>
      <c r="I32" s="9"/>
      <c r="J32" s="9"/>
      <c r="K32" s="9"/>
      <c r="L32" s="9"/>
      <c r="M32" s="9"/>
      <c r="N32" s="9"/>
      <c r="O32" s="10" t="s">
        <v>29</v>
      </c>
      <c r="P32" s="11" t="s">
        <v>60</v>
      </c>
      <c r="Q32" s="11"/>
      <c r="R32" s="11"/>
      <c r="S32" s="9"/>
      <c r="T32" s="9"/>
      <c r="U32" s="9"/>
      <c r="V32" s="9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5.75" customHeight="1">
      <c r="A33" s="18" t="s">
        <v>241</v>
      </c>
      <c r="B33" s="22" t="s">
        <v>242</v>
      </c>
      <c r="C33" s="22" t="s">
        <v>243</v>
      </c>
      <c r="D33" s="6" t="s">
        <v>163</v>
      </c>
      <c r="E33" s="22" t="s">
        <v>244</v>
      </c>
      <c r="F33" s="19" t="s">
        <v>205</v>
      </c>
      <c r="G33" s="19" t="s">
        <v>245</v>
      </c>
      <c r="H33" s="8" t="s">
        <v>98</v>
      </c>
      <c r="I33" s="9"/>
      <c r="J33" s="9"/>
      <c r="K33" s="9"/>
      <c r="L33" s="9"/>
      <c r="M33" s="9"/>
      <c r="N33" s="9"/>
      <c r="O33" s="10" t="s">
        <v>29</v>
      </c>
      <c r="P33" s="11" t="s">
        <v>60</v>
      </c>
      <c r="Q33" s="11"/>
      <c r="R33" s="11"/>
      <c r="S33" s="9"/>
      <c r="T33" s="9"/>
      <c r="U33" s="9"/>
      <c r="V33" s="9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5.75" customHeight="1">
      <c r="A34" s="18" t="s">
        <v>246</v>
      </c>
      <c r="B34" s="19" t="s">
        <v>247</v>
      </c>
      <c r="C34" s="19" t="s">
        <v>248</v>
      </c>
      <c r="D34" s="6" t="s">
        <v>134</v>
      </c>
      <c r="E34" s="19" t="s">
        <v>249</v>
      </c>
      <c r="F34" s="19" t="s">
        <v>250</v>
      </c>
      <c r="G34" s="19" t="s">
        <v>251</v>
      </c>
      <c r="H34" s="8" t="s">
        <v>68</v>
      </c>
      <c r="I34" s="9"/>
      <c r="J34" s="9"/>
      <c r="K34" s="9"/>
      <c r="L34" s="9"/>
      <c r="M34" s="9"/>
      <c r="N34" s="9"/>
      <c r="O34" s="10" t="s">
        <v>29</v>
      </c>
      <c r="P34" s="11" t="s">
        <v>60</v>
      </c>
      <c r="Q34" s="11"/>
      <c r="R34" s="11"/>
      <c r="S34" s="9"/>
      <c r="T34" s="9"/>
      <c r="U34" s="9"/>
      <c r="V34" s="9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5.75" customHeight="1">
      <c r="A35" s="18" t="s">
        <v>252</v>
      </c>
      <c r="B35" s="19" t="s">
        <v>253</v>
      </c>
      <c r="C35" s="20" t="s">
        <v>254</v>
      </c>
      <c r="D35" s="6" t="s">
        <v>25</v>
      </c>
      <c r="E35" s="19" t="s">
        <v>255</v>
      </c>
      <c r="F35" s="19" t="s">
        <v>178</v>
      </c>
      <c r="G35" s="20" t="s">
        <v>256</v>
      </c>
      <c r="H35" s="6" t="s">
        <v>68</v>
      </c>
      <c r="I35" s="10" t="s">
        <v>29</v>
      </c>
      <c r="J35" s="9"/>
      <c r="K35" s="9"/>
      <c r="L35" s="9"/>
      <c r="M35" s="9"/>
      <c r="N35" s="9"/>
      <c r="O35" s="9"/>
      <c r="P35" s="11" t="s">
        <v>60</v>
      </c>
      <c r="Q35" s="11"/>
      <c r="R35" s="11"/>
      <c r="S35" s="9"/>
      <c r="T35" s="9"/>
      <c r="U35" s="9"/>
      <c r="V35" s="9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5.75" customHeight="1">
      <c r="A36" s="1" t="s">
        <v>257</v>
      </c>
      <c r="B36" s="9" t="s">
        <v>258</v>
      </c>
      <c r="C36" s="9" t="s">
        <v>239</v>
      </c>
      <c r="D36" s="6" t="s">
        <v>25</v>
      </c>
      <c r="E36" s="9" t="s">
        <v>259</v>
      </c>
      <c r="F36" s="9" t="s">
        <v>178</v>
      </c>
      <c r="G36" s="10" t="s">
        <v>260</v>
      </c>
      <c r="H36" s="10" t="s">
        <v>68</v>
      </c>
      <c r="I36" s="10" t="s">
        <v>29</v>
      </c>
      <c r="J36" s="9"/>
      <c r="K36" s="9"/>
      <c r="L36" s="9"/>
      <c r="M36" s="9"/>
      <c r="N36" s="9"/>
      <c r="O36" s="9"/>
      <c r="P36" s="11" t="s">
        <v>60</v>
      </c>
      <c r="Q36" s="11"/>
      <c r="R36" s="11"/>
      <c r="S36" s="9"/>
      <c r="T36" s="9"/>
      <c r="U36" s="9"/>
      <c r="V36" s="9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5.75" customHeight="1">
      <c r="A37" s="2" t="s">
        <v>261</v>
      </c>
      <c r="B37" s="9"/>
      <c r="C37" s="9"/>
      <c r="D37" s="10"/>
      <c r="E37" s="10" t="s">
        <v>262</v>
      </c>
      <c r="F37" s="9"/>
      <c r="G37" s="10" t="s">
        <v>263</v>
      </c>
      <c r="H37" s="9"/>
      <c r="I37" s="9"/>
      <c r="J37" s="9"/>
      <c r="K37" s="9"/>
      <c r="L37" s="9"/>
      <c r="M37" s="9"/>
      <c r="N37" s="9"/>
      <c r="O37" s="9"/>
      <c r="P37" s="11"/>
      <c r="Q37" s="11"/>
      <c r="R37" s="11"/>
      <c r="S37" s="9"/>
      <c r="T37" s="9"/>
      <c r="U37" s="9"/>
      <c r="V37" s="9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5.75" customHeight="1">
      <c r="A38" s="27" t="s">
        <v>264</v>
      </c>
      <c r="B38" s="8" t="s">
        <v>265</v>
      </c>
      <c r="C38" s="8" t="s">
        <v>266</v>
      </c>
      <c r="D38" s="10" t="s">
        <v>25</v>
      </c>
      <c r="E38" s="10" t="s">
        <v>267</v>
      </c>
      <c r="F38" s="8" t="s">
        <v>268</v>
      </c>
      <c r="G38" s="8" t="s">
        <v>269</v>
      </c>
      <c r="H38" s="10" t="s">
        <v>194</v>
      </c>
      <c r="I38" s="9"/>
      <c r="J38" s="9"/>
      <c r="K38" s="9"/>
      <c r="L38" s="10" t="s">
        <v>29</v>
      </c>
      <c r="M38" s="9"/>
      <c r="N38" s="9"/>
      <c r="O38" s="9"/>
      <c r="P38" s="28"/>
      <c r="Q38" s="28"/>
      <c r="R38" s="28"/>
      <c r="S38" s="9"/>
      <c r="T38" s="9"/>
      <c r="U38" s="9"/>
      <c r="V38" s="9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5.75" customHeight="1">
      <c r="A39" s="2" t="s">
        <v>270</v>
      </c>
      <c r="B39" s="9"/>
      <c r="C39" s="9"/>
      <c r="D39" s="10"/>
      <c r="E39" s="10" t="s">
        <v>271</v>
      </c>
      <c r="F39" s="9"/>
      <c r="G39" s="9"/>
      <c r="H39" s="9"/>
      <c r="I39" s="9"/>
      <c r="J39" s="9"/>
      <c r="K39" s="9"/>
      <c r="L39" s="10" t="s">
        <v>29</v>
      </c>
      <c r="M39" s="9"/>
      <c r="N39" s="9"/>
      <c r="O39" s="9"/>
      <c r="P39" s="28"/>
      <c r="Q39" s="28"/>
      <c r="R39" s="28"/>
      <c r="S39" s="9"/>
      <c r="T39" s="9"/>
      <c r="U39" s="9"/>
      <c r="V39" s="9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5.75" customHeight="1">
      <c r="A40" s="27" t="s">
        <v>272</v>
      </c>
      <c r="B40" s="8" t="s">
        <v>273</v>
      </c>
      <c r="C40" s="8" t="s">
        <v>274</v>
      </c>
      <c r="D40" s="29" t="s">
        <v>36</v>
      </c>
      <c r="E40" s="29" t="s">
        <v>275</v>
      </c>
      <c r="F40" s="8" t="s">
        <v>276</v>
      </c>
      <c r="G40" s="8" t="s">
        <v>277</v>
      </c>
      <c r="H40" s="29" t="s">
        <v>98</v>
      </c>
      <c r="I40" s="3"/>
      <c r="J40" s="3"/>
      <c r="K40" s="3"/>
      <c r="L40" s="30" t="s">
        <v>29</v>
      </c>
      <c r="M40" s="3"/>
      <c r="N40" s="30" t="s">
        <v>29</v>
      </c>
      <c r="O40" s="3"/>
      <c r="P40" s="31" t="s">
        <v>30</v>
      </c>
      <c r="Q40" s="14" t="s">
        <v>278</v>
      </c>
      <c r="R40" s="14" t="s">
        <v>279</v>
      </c>
      <c r="S40" s="29" t="s">
        <v>78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15.75" customHeight="1">
      <c r="A41" s="27" t="s">
        <v>280</v>
      </c>
      <c r="B41" s="8" t="s">
        <v>281</v>
      </c>
      <c r="C41" s="8" t="s">
        <v>282</v>
      </c>
      <c r="D41" s="29" t="s">
        <v>283</v>
      </c>
      <c r="E41" s="8" t="s">
        <v>284</v>
      </c>
      <c r="F41" s="8" t="s">
        <v>285</v>
      </c>
      <c r="G41" s="29" t="s">
        <v>286</v>
      </c>
      <c r="H41" s="29" t="s">
        <v>98</v>
      </c>
      <c r="I41" s="30" t="s">
        <v>224</v>
      </c>
      <c r="J41" s="3"/>
      <c r="K41" s="30" t="s">
        <v>224</v>
      </c>
      <c r="L41" s="30" t="s">
        <v>29</v>
      </c>
      <c r="M41" s="3"/>
      <c r="N41" s="3"/>
      <c r="O41" s="3"/>
      <c r="P41" s="31" t="s">
        <v>30</v>
      </c>
      <c r="Q41" s="14" t="s">
        <v>287</v>
      </c>
      <c r="R41" s="14" t="s">
        <v>288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15.75" customHeight="1">
      <c r="A42" s="32" t="s">
        <v>289</v>
      </c>
      <c r="B42" s="3"/>
      <c r="C42" s="3"/>
      <c r="D42" s="3"/>
      <c r="E42" s="3"/>
      <c r="F42" s="3"/>
      <c r="G42" s="3"/>
      <c r="H42" s="3"/>
      <c r="I42" s="30" t="s">
        <v>29</v>
      </c>
      <c r="J42" s="33"/>
      <c r="K42" s="3"/>
      <c r="L42" s="3"/>
      <c r="M42" s="30" t="s">
        <v>29</v>
      </c>
      <c r="N42" s="3"/>
      <c r="O42" s="3"/>
      <c r="P42" s="31" t="s">
        <v>30</v>
      </c>
      <c r="Q42" s="34"/>
      <c r="R42" s="34"/>
      <c r="S42" s="3"/>
      <c r="T42" s="3"/>
      <c r="U42" s="3"/>
      <c r="V42" s="31" t="s">
        <v>43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15.75" customHeight="1">
      <c r="A43" s="27" t="s">
        <v>290</v>
      </c>
      <c r="B43" s="29" t="s">
        <v>291</v>
      </c>
      <c r="C43" s="3"/>
      <c r="D43" s="29" t="s">
        <v>292</v>
      </c>
      <c r="E43" s="3"/>
      <c r="F43" s="3"/>
      <c r="G43" s="29" t="s">
        <v>293</v>
      </c>
      <c r="H43" s="29" t="s">
        <v>98</v>
      </c>
      <c r="I43" s="30" t="s">
        <v>294</v>
      </c>
      <c r="J43" s="3"/>
      <c r="K43" s="30" t="s">
        <v>100</v>
      </c>
      <c r="L43" s="30" t="s">
        <v>29</v>
      </c>
      <c r="M43" s="3"/>
      <c r="N43" s="3"/>
      <c r="O43" s="3"/>
      <c r="P43" s="31" t="s">
        <v>295</v>
      </c>
      <c r="Q43" s="31" t="s">
        <v>296</v>
      </c>
      <c r="R43" s="3"/>
      <c r="S43" s="29" t="s">
        <v>29</v>
      </c>
      <c r="T43" s="3"/>
      <c r="U43" s="3"/>
      <c r="V43" s="31" t="s">
        <v>29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15.75" customHeight="1">
      <c r="A44" s="27" t="s">
        <v>297</v>
      </c>
      <c r="B44" s="8" t="s">
        <v>298</v>
      </c>
      <c r="C44" s="3"/>
      <c r="D44" s="3"/>
      <c r="E44" s="3"/>
      <c r="F44" s="8" t="s">
        <v>299</v>
      </c>
      <c r="G44" s="35">
        <v>45971.0</v>
      </c>
      <c r="H44" s="29" t="s">
        <v>300</v>
      </c>
      <c r="I44" s="3"/>
      <c r="J44" s="3"/>
      <c r="K44" s="3"/>
      <c r="L44" s="30" t="s">
        <v>29</v>
      </c>
      <c r="M44" s="3"/>
      <c r="N44" s="3"/>
      <c r="O44" s="3"/>
      <c r="P44" s="31" t="s">
        <v>295</v>
      </c>
      <c r="Q44" s="14" t="s">
        <v>301</v>
      </c>
      <c r="R44" s="3"/>
      <c r="S44" s="29" t="s">
        <v>29</v>
      </c>
      <c r="T44" s="3"/>
      <c r="U44" s="3"/>
      <c r="V44" s="29" t="s">
        <v>29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15.75" customHeight="1">
      <c r="A45" s="36" t="s">
        <v>302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29" t="s">
        <v>30</v>
      </c>
      <c r="Q45" s="3"/>
      <c r="R45" s="3"/>
      <c r="S45" s="29" t="s">
        <v>29</v>
      </c>
      <c r="T45" s="3"/>
      <c r="U45" s="3"/>
      <c r="V45" s="29" t="s">
        <v>43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15.75" customHeight="1">
      <c r="A46" s="36" t="s">
        <v>303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29" t="s">
        <v>30</v>
      </c>
      <c r="Q46" s="3"/>
      <c r="R46" s="3"/>
      <c r="S46" s="29" t="s">
        <v>29</v>
      </c>
      <c r="T46" s="3"/>
      <c r="U46" s="3"/>
      <c r="V46" s="29" t="s">
        <v>29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15.75" customHeight="1">
      <c r="A47" s="3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29" t="s">
        <v>295</v>
      </c>
      <c r="Q47" s="3"/>
      <c r="R47" s="3"/>
      <c r="S47" s="29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</sheetData>
  <autoFilter ref="$A$1:$V$47">
    <sortState ref="A1:V47">
      <sortCondition ref="G1:G47"/>
    </sortState>
  </autoFilter>
  <conditionalFormatting sqref="I2:O39">
    <cfRule type="notContainsBlanks" dxfId="0" priority="1">
      <formula>LEN(TRIM(I2))&gt;0</formula>
    </cfRule>
  </conditionalFormatting>
  <conditionalFormatting sqref="S3:S43">
    <cfRule type="containsText" dxfId="0" priority="2" operator="containsText" text="Yes">
      <formula>NOT(ISERROR(SEARCH(("Yes"),(S3))))</formula>
    </cfRule>
  </conditionalFormatting>
  <conditionalFormatting sqref="S3:S43">
    <cfRule type="containsText" dxfId="1" priority="3" operator="containsText" text="No">
      <formula>NOT(ISERROR(SEARCH(("No"),(S3))))</formula>
    </cfRule>
  </conditionalFormatting>
  <conditionalFormatting sqref="S2:S44">
    <cfRule type="cellIs" dxfId="0" priority="4" operator="equal">
      <formula>"Yes"</formula>
    </cfRule>
  </conditionalFormatting>
  <conditionalFormatting sqref="V2:V43">
    <cfRule type="cellIs" dxfId="0" priority="5" operator="equal">
      <formula>"Yes"</formula>
    </cfRule>
  </conditionalFormatting>
  <conditionalFormatting sqref="V44">
    <cfRule type="notContainsBlanks" dxfId="0" priority="6">
      <formula>LEN(TRIM(V44))&gt;0</formula>
    </cfRule>
  </conditionalFormatting>
  <conditionalFormatting sqref="S45">
    <cfRule type="containsText" dxfId="0" priority="7" operator="containsText" text="Yes">
      <formula>NOT(ISERROR(SEARCH(("Yes"),(S45))))</formula>
    </cfRule>
  </conditionalFormatting>
  <conditionalFormatting sqref="S46:S47">
    <cfRule type="containsText" dxfId="0" priority="8" operator="containsText" text="Yes">
      <formula>NOT(ISERROR(SEARCH(("Yes"),(S46))))</formula>
    </cfRule>
  </conditionalFormatting>
  <conditionalFormatting sqref="V46">
    <cfRule type="notContainsBlanks" dxfId="0" priority="9">
      <formula>LEN(TRIM(V46))&gt;0</formula>
    </cfRule>
  </conditionalFormatting>
  <hyperlinks>
    <hyperlink r:id="rId2" ref="R4"/>
  </hyperlinks>
  <printOptions/>
  <pageMargins bottom="0.75" footer="0.0" header="0.0" left="0.7" right="0.7" top="0.75"/>
  <pageSetup orientation="landscape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2025-10-24T06:41:51Z</dcterms:created>
  <dc:creator>Nduta Njenga</dc:creator>
</cp:coreProperties>
</file>